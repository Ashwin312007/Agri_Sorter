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LO Datasets" sheetId="1" state="visible" r:id="rId1"/>
    <sheet xmlns:r="http://schemas.openxmlformats.org/officeDocument/2006/relationships" name="Unified Schema &amp; Summary" sheetId="2" state="visible" r:id="rId2"/>
    <sheet xmlns:r="http://schemas.openxmlformats.org/officeDocument/2006/relationships" name="Kaggle Supplemental" sheetId="3" state="visible" r:id="rId3"/>
  </sheets>
  <definedNames>
    <definedName name="_xlnm._FilterDatabase" localSheetId="0" hidden="1">'YOLO Datasets'!$A$4:$J$18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2C4A3E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2E28"/>
      <sz val="10"/>
    </font>
    <font>
      <name val="Calibri"/>
      <color rgb="001F2E28"/>
      <sz val="10"/>
    </font>
    <font>
      <name val="Calibri"/>
      <color rgb="001B5E20"/>
      <sz val="10"/>
      <u val="single"/>
    </font>
    <font>
      <name val="Calibri"/>
      <b val="1"/>
      <color rgb="001E8449"/>
      <sz val="10"/>
    </font>
  </fonts>
  <fills count="8">
    <fill>
      <patternFill/>
    </fill>
    <fill>
      <patternFill patternType="gray125"/>
    </fill>
    <fill>
      <patternFill patternType="solid">
        <fgColor rgb="002C4A3E"/>
        <bgColor rgb="002C4A3E"/>
      </patternFill>
    </fill>
    <fill>
      <patternFill patternType="solid">
        <fgColor rgb="00FFFFFF"/>
        <bgColor rgb="00FFFFFF"/>
      </patternFill>
    </fill>
    <fill>
      <patternFill patternType="solid">
        <fgColor rgb="00D5F5E3"/>
        <bgColor rgb="00D5F5E3"/>
      </patternFill>
    </fill>
    <fill>
      <patternFill patternType="solid">
        <fgColor rgb="00F4F7F5"/>
        <bgColor rgb="00F4F7F5"/>
      </patternFill>
    </fill>
    <fill>
      <patternFill patternType="solid">
        <fgColor rgb="00E2EBE6"/>
        <bgColor rgb="00E2EBE6"/>
      </patternFill>
    </fill>
    <fill>
      <patternFill patternType="solid">
        <fgColor rgb="004A6B5D"/>
        <bgColor rgb="004A6B5D"/>
      </patternFill>
    </fill>
  </fills>
  <borders count="4">
    <border>
      <left/>
      <right/>
      <top/>
      <bottom/>
      <diagonal/>
    </border>
    <border>
      <left style="thin">
        <color rgb="00D0D7D4"/>
      </left>
      <right style="thin">
        <color rgb="00D0D7D4"/>
      </right>
      <top style="thin">
        <color rgb="00D0D7D4"/>
      </top>
      <bottom style="medium">
        <color rgb="002C4A3E"/>
      </bottom>
    </border>
    <border>
      <left style="thin">
        <color rgb="00D0D7D4"/>
      </left>
      <right style="thin">
        <color rgb="00D0D7D4"/>
      </right>
      <top style="thin">
        <color rgb="00D0D7D4"/>
      </top>
      <bottom style="thin">
        <color rgb="00D0D7D4"/>
      </bottom>
    </border>
    <border>
      <left style="thin">
        <color rgb="00D0D7D4"/>
      </left>
      <right style="thin">
        <color rgb="00D0D7D4"/>
      </right>
      <top style="thin">
        <color rgb="00D0D7D4"/>
      </top>
      <bottom style="double">
        <color rgb="002C4A3E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3" fontId="5" fillId="3" borderId="2" applyAlignment="1" pivotButton="0" quotePrefix="0" xfId="0">
      <alignment horizontal="right" vertical="center"/>
    </xf>
    <xf numFmtId="0" fontId="7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right" vertical="center"/>
    </xf>
    <xf numFmtId="0" fontId="4" fillId="6" borderId="3" applyAlignment="1" pivotButton="0" quotePrefix="0" xfId="0">
      <alignment horizontal="right" vertical="center"/>
    </xf>
    <xf numFmtId="0" fontId="0" fillId="6" borderId="3" pivotButton="0" quotePrefix="0" xfId="0"/>
    <xf numFmtId="3" fontId="4" fillId="6" borderId="3" applyAlignment="1" pivotButton="0" quotePrefix="0" xfId="0">
      <alignment horizontal="right" vertical="center"/>
    </xf>
    <xf numFmtId="0" fontId="4" fillId="6" borderId="3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Annotated Image Volume by Fruit (Roboflow YOLO)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'Unified Schema &amp; Summary'!C4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'Unified Schema &amp; Summary'!$A$5:$A$9</f>
            </numRef>
          </cat>
          <val>
            <numRef>
              <f>'Unified Schema &amp; Summary'!$C$5:$C$9</f>
            </numRef>
          </val>
        </ser>
        <ser>
          <idx val="1"/>
          <order val="1"/>
          <tx>
            <strRef>
              <f>'Unified Schema &amp; Summary'!D4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'Unified Schema &amp; Summary'!$A$5:$A$9</f>
            </numRef>
          </cat>
          <val>
            <numRef>
              <f>'Unified Schema &amp; Summary'!$D$5:$D$9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Fruit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Images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universe.roboflow.com/applesort-esgll/apple_surface_defects" TargetMode="External" Id="rId1"/><Relationship Type="http://schemas.openxmlformats.org/officeDocument/2006/relationships/hyperlink" Target="https://universe.roboflow.com/fruit-disease-detection-nrrei/apple-fruit-disease-detection-zei6u" TargetMode="External" Id="rId2"/><Relationship Type="http://schemas.openxmlformats.org/officeDocument/2006/relationships/hyperlink" Target="https://universe.roboflow.com/appledefectsdetection/apple-defect-detection-pkekm/dataset/1" TargetMode="External" Id="rId3"/><Relationship Type="http://schemas.openxmlformats.org/officeDocument/2006/relationships/hyperlink" Target="https://universe.roboflow.com/chisilia/detection-guava-disease" TargetMode="External" Id="rId4"/><Relationship Type="http://schemas.openxmlformats.org/officeDocument/2006/relationships/hyperlink" Target="https://universe.roboflow.com/guava-h8gxt" TargetMode="External" Id="rId5"/><Relationship Type="http://schemas.openxmlformats.org/officeDocument/2006/relationships/hyperlink" Target="https://universe.roboflow.com/chisilia/guava-disease-5fdvy/dataset/5" TargetMode="External" Id="rId6"/><Relationship Type="http://schemas.openxmlformats.org/officeDocument/2006/relationships/hyperlink" Target="https://universe.roboflow.com/mintras-workspace/mango-defect-detection-pc4gs" TargetMode="External" Id="rId7"/><Relationship Type="http://schemas.openxmlformats.org/officeDocument/2006/relationships/hyperlink" Target="https://universe.roboflow.com/kaycee-kaye-y-villanueva-mzmks/mango-defect-detection" TargetMode="External" Id="rId8"/><Relationship Type="http://schemas.openxmlformats.org/officeDocument/2006/relationships/hyperlink" Target="https://universe.roboflow.com/mangoclass/mangograding" TargetMode="External" Id="rId9"/><Relationship Type="http://schemas.openxmlformats.org/officeDocument/2006/relationships/hyperlink" Target="https://universe.roboflow.com/capstone-2az9h/orange-disease-detection-qunki" TargetMode="External" Id="rId10"/><Relationship Type="http://schemas.openxmlformats.org/officeDocument/2006/relationships/hyperlink" Target="https://universe.roboflow.com/mydetect-o2wvw/orange-defect" TargetMode="External" Id="rId11"/><Relationship Type="http://schemas.openxmlformats.org/officeDocument/2006/relationships/hyperlink" Target="https://universe.roboflow.com/fizza/pomegranate-disease-detection-t7rg0" TargetMode="External" Id="rId12"/><Relationship Type="http://schemas.openxmlformats.org/officeDocument/2006/relationships/hyperlink" Target="https://universe.roboflow.com/im-ririo/pomegranate-disease-detection-29ocz-yz4hn/dataset/2" TargetMode="External" Id="rId13"/><Relationship Type="http://schemas.openxmlformats.org/officeDocument/2006/relationships/hyperlink" Target="https://universe.roboflow.com/bin-wnwyu/pomegranate-hhj6l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kaggle.com/datasets/ateebnoone/fruits-dataset-for-fruit-disease-classification" TargetMode="External" Id="rId1"/><Relationship Type="http://schemas.openxmlformats.org/officeDocument/2006/relationships/hyperlink" Target="https://www.kaggle.com/datasets/amdatas/fruits-diseases-classification-dataset" TargetMode="External" Id="rId2"/><Relationship Type="http://schemas.openxmlformats.org/officeDocument/2006/relationships/hyperlink" Target="https://www.kaggle.com/datasets/sriramr/fruits-fresh-and-rotten-for-classification" TargetMode="External" Id="rId3"/><Relationship Type="http://schemas.openxmlformats.org/officeDocument/2006/relationships/hyperlink" Target="https://www.kaggle.com/datasets/raghavrpotdar/fresh-and-stale-images-of-fruits-and-vegetables" TargetMode="External" Id="rId4"/><Relationship Type="http://schemas.openxmlformats.org/officeDocument/2006/relationships/hyperlink" Target="https://www.kaggle.com/datasets/sujaykapadnis/pomegranate-fruit-diseases-dataset" TargetMode="External" Id="rId5"/><Relationship Type="http://schemas.openxmlformats.org/officeDocument/2006/relationships/hyperlink" Target="https://www.kaggle.com/datasets/noamaanabdulazeem/guava-dataset" TargetMode="External" Id="rId6"/><Relationship Type="http://schemas.openxmlformats.org/officeDocument/2006/relationships/hyperlink" Target="https://www.kaggle.com/datasets/sgandhi2003/orange-fruit-dataset" TargetMode="External" Id="rId7"/><Relationship Type="http://schemas.openxmlformats.org/officeDocument/2006/relationships/hyperlink" Target="https://www.kaggle.com/datasets/moltean/fruits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  <col width="18" customWidth="1" min="4" max="4"/>
    <col width="62" customWidth="1" min="5" max="5"/>
    <col width="52" customWidth="1" min="6" max="6"/>
    <col width="14" customWidth="1" min="7" max="7"/>
    <col width="22" customWidth="1" min="8" max="8"/>
    <col width="22" customWidth="1" min="9" max="9"/>
    <col width="18" customWidth="1" min="10" max="10"/>
  </cols>
  <sheetData>
    <row r="1" ht="26" customHeight="1">
      <c r="A1" s="1" t="inlineStr">
        <is>
          <t>Verified Roboflow Universe &amp; Kaggle Fruit Defect Datasets (Supervised YOLO)</t>
        </is>
      </c>
    </row>
    <row r="2" ht="18" customHeight="1">
      <c r="A2" s="2" t="inlineStr">
        <is>
          <t>Curated bounding-box &amp; classification datasets for Apple, Guava, Mango, Orange, and Pomegranate quality grading &amp; pathology detection</t>
        </is>
      </c>
    </row>
    <row r="4" ht="28" customHeight="1">
      <c r="A4" s="3" t="inlineStr">
        <is>
          <t>ID</t>
        </is>
      </c>
      <c r="B4" s="3" t="inlineStr">
        <is>
          <t>Fruit Category</t>
        </is>
      </c>
      <c r="C4" s="4" t="inlineStr">
        <is>
          <t>Dataset / Workspace Name</t>
        </is>
      </c>
      <c r="D4" s="3" t="inlineStr">
        <is>
          <t>Source Platform</t>
        </is>
      </c>
      <c r="E4" s="4" t="inlineStr">
        <is>
          <t>Verified URL</t>
        </is>
      </c>
      <c r="F4" s="4" t="inlineStr">
        <is>
          <t>Pre-Marked Bounding Box Classes</t>
        </is>
      </c>
      <c r="G4" s="3" t="inlineStr">
        <is>
          <t>Base Images</t>
        </is>
      </c>
      <c r="H4" s="3" t="inlineStr">
        <is>
          <t>Augmented / Total Images</t>
        </is>
      </c>
      <c r="I4" s="3" t="inlineStr">
        <is>
          <t>Annotation &amp; Export Format</t>
        </is>
      </c>
      <c r="J4" s="3" t="inlineStr">
        <is>
          <t>Status</t>
        </is>
      </c>
    </row>
    <row r="5" ht="26" customHeight="1">
      <c r="A5" s="5" t="inlineStr">
        <is>
          <t>RF-01</t>
        </is>
      </c>
      <c r="B5" s="5" t="inlineStr">
        <is>
          <t>Apple</t>
        </is>
      </c>
      <c r="C5" s="6" t="inlineStr">
        <is>
          <t>Apple Surface Defects (AppleSort)</t>
        </is>
      </c>
      <c r="D5" s="7" t="inlineStr">
        <is>
          <t>Roboflow Universe</t>
        </is>
      </c>
      <c r="E5" s="8" t="inlineStr">
        <is>
          <t>https://universe.roboflow.com/applesort-esgll/apple_surface_defects</t>
        </is>
      </c>
      <c r="F5" s="6" t="inlineStr">
        <is>
          <t>bruising, crack, insect_bite, rotten, rusetting, objects</t>
        </is>
      </c>
      <c r="G5" s="9" t="n">
        <v>191</v>
      </c>
      <c r="H5" s="9" t="n">
        <v>191</v>
      </c>
      <c r="I5" s="7" t="inlineStr">
        <is>
          <t>YOLOv8 / YOLOv11 TXT</t>
        </is>
      </c>
      <c r="J5" s="10" t="inlineStr">
        <is>
          <t>Verified Active</t>
        </is>
      </c>
    </row>
    <row r="6" ht="26" customHeight="1">
      <c r="A6" s="11" t="inlineStr">
        <is>
          <t>RF-02</t>
        </is>
      </c>
      <c r="B6" s="11" t="inlineStr">
        <is>
          <t>Apple</t>
        </is>
      </c>
      <c r="C6" s="12" t="inlineStr">
        <is>
          <t>Apple Fruit Disease Detection</t>
        </is>
      </c>
      <c r="D6" s="13" t="inlineStr">
        <is>
          <t>Roboflow Universe</t>
        </is>
      </c>
      <c r="E6" s="14" t="inlineStr">
        <is>
          <t>https://universe.roboflow.com/fruit-disease-detection-nrrei/apple-fruit-disease-detection-zei6u</t>
        </is>
      </c>
      <c r="F6" s="12" t="inlineStr">
        <is>
          <t>HEALTHY, BLOTCH, ROT, SCAB</t>
        </is>
      </c>
      <c r="G6" s="15" t="n">
        <v>434</v>
      </c>
      <c r="H6" s="15" t="n">
        <v>434</v>
      </c>
      <c r="I6" s="13" t="inlineStr">
        <is>
          <t>YOLOv8 / YOLOv11 TXT</t>
        </is>
      </c>
      <c r="J6" s="10" t="inlineStr">
        <is>
          <t>Verified Active</t>
        </is>
      </c>
    </row>
    <row r="7" ht="26" customHeight="1">
      <c r="A7" s="5" t="inlineStr">
        <is>
          <t>RF-03</t>
        </is>
      </c>
      <c r="B7" s="5" t="inlineStr">
        <is>
          <t>Apple</t>
        </is>
      </c>
      <c r="C7" s="6" t="inlineStr">
        <is>
          <t>Apple Defect Detection (pkekm)</t>
        </is>
      </c>
      <c r="D7" s="7" t="inlineStr">
        <is>
          <t>Roboflow Universe</t>
        </is>
      </c>
      <c r="E7" s="8" t="inlineStr">
        <is>
          <t>https://universe.roboflow.com/appledefectsdetection/apple-defect-detection-pkekm/dataset/1</t>
        </is>
      </c>
      <c r="F7" s="6" t="inlineStr">
        <is>
          <t>Surface defects &amp; healthy apples</t>
        </is>
      </c>
      <c r="G7" s="9" t="n">
        <v>664</v>
      </c>
      <c r="H7" s="9" t="n">
        <v>1595</v>
      </c>
      <c r="I7" s="7" t="inlineStr">
        <is>
          <t>YOLOv8 / YOLOv11 TXT</t>
        </is>
      </c>
      <c r="J7" s="10" t="inlineStr">
        <is>
          <t>Verified Active</t>
        </is>
      </c>
    </row>
    <row r="8" ht="26" customHeight="1">
      <c r="A8" s="11" t="inlineStr">
        <is>
          <t>RF-04</t>
        </is>
      </c>
      <c r="B8" s="11" t="inlineStr">
        <is>
          <t>Guava</t>
        </is>
      </c>
      <c r="C8" s="12" t="inlineStr">
        <is>
          <t>Detection Guava Disease (chisilia)</t>
        </is>
      </c>
      <c r="D8" s="13" t="inlineStr">
        <is>
          <t>Roboflow Universe</t>
        </is>
      </c>
      <c r="E8" s="14" t="inlineStr">
        <is>
          <t>https://universe.roboflow.com/chisilia/detection-guava-disease</t>
        </is>
      </c>
      <c r="F8" s="12" t="inlineStr">
        <is>
          <t>Phytopthora (rot), Scab (scars), Styler and Root (end-rot)</t>
        </is>
      </c>
      <c r="G8" s="15" t="n">
        <v>907</v>
      </c>
      <c r="H8" s="15" t="n">
        <v>2369</v>
      </c>
      <c r="I8" s="13" t="inlineStr">
        <is>
          <t>YOLOv8 / YOLOv11 TXT</t>
        </is>
      </c>
      <c r="J8" s="10" t="inlineStr">
        <is>
          <t>Verified Active</t>
        </is>
      </c>
    </row>
    <row r="9" ht="26" customHeight="1">
      <c r="A9" s="5" t="inlineStr">
        <is>
          <t>RF-05</t>
        </is>
      </c>
      <c r="B9" s="5" t="inlineStr">
        <is>
          <t>Guava</t>
        </is>
      </c>
      <c r="C9" s="6" t="inlineStr">
        <is>
          <t>Guava Fruit Hub (guava-h8gxt)</t>
        </is>
      </c>
      <c r="D9" s="7" t="inlineStr">
        <is>
          <t>Roboflow Universe</t>
        </is>
      </c>
      <c r="E9" s="8" t="inlineStr">
        <is>
          <t>https://universe.roboflow.com/guava-h8gxt</t>
        </is>
      </c>
      <c r="F9" s="6" t="inlineStr">
        <is>
          <t>Guava_healthy, Guava_Fruit_fly (punctures/rot), Guava Disease</t>
        </is>
      </c>
      <c r="G9" s="9" t="n">
        <v>1750</v>
      </c>
      <c r="H9" s="9" t="n">
        <v>1750</v>
      </c>
      <c r="I9" s="7" t="inlineStr">
        <is>
          <t>YOLOv8 / YOLOv11 TXT</t>
        </is>
      </c>
      <c r="J9" s="10" t="inlineStr">
        <is>
          <t>Verified Active</t>
        </is>
      </c>
    </row>
    <row r="10" ht="26" customHeight="1">
      <c r="A10" s="11" t="inlineStr">
        <is>
          <t>RF-06</t>
        </is>
      </c>
      <c r="B10" s="11" t="inlineStr">
        <is>
          <t>Guava</t>
        </is>
      </c>
      <c r="C10" s="12" t="inlineStr">
        <is>
          <t>Guava Disease Model (chisilia v5)</t>
        </is>
      </c>
      <c r="D10" s="13" t="inlineStr">
        <is>
          <t>Roboflow Universe</t>
        </is>
      </c>
      <c r="E10" s="14" t="inlineStr">
        <is>
          <t>https://universe.roboflow.com/chisilia/guava-disease-5fdvy/dataset/5</t>
        </is>
      </c>
      <c r="F10" s="12" t="inlineStr">
        <is>
          <t>guava-penyakit-buah-jambu (scab, rot, surface lesions)</t>
        </is>
      </c>
      <c r="G10" s="15" t="n">
        <v>1457</v>
      </c>
      <c r="H10" s="15" t="n">
        <v>1457</v>
      </c>
      <c r="I10" s="13" t="inlineStr">
        <is>
          <t>YOLOv8 / YOLOv11 TXT</t>
        </is>
      </c>
      <c r="J10" s="10" t="inlineStr">
        <is>
          <t>Verified Active</t>
        </is>
      </c>
    </row>
    <row r="11" ht="26" customHeight="1">
      <c r="A11" s="5" t="inlineStr">
        <is>
          <t>RF-07</t>
        </is>
      </c>
      <c r="B11" s="5" t="inlineStr">
        <is>
          <t>Mango</t>
        </is>
      </c>
      <c r="C11" s="6" t="inlineStr">
        <is>
          <t>Mango Defect Detection (mintras)</t>
        </is>
      </c>
      <c r="D11" s="7" t="inlineStr">
        <is>
          <t>Roboflow Universe</t>
        </is>
      </c>
      <c r="E11" s="8" t="inlineStr">
        <is>
          <t>https://universe.roboflow.com/mintras-workspace/mango-defect-detection-pc4gs</t>
        </is>
      </c>
      <c r="F11" s="6" t="inlineStr">
        <is>
          <t>green, ripe, deformed, rotten, skin damage</t>
        </is>
      </c>
      <c r="G11" s="9" t="n">
        <v>178</v>
      </c>
      <c r="H11" s="9" t="n">
        <v>490</v>
      </c>
      <c r="I11" s="7" t="inlineStr">
        <is>
          <t>YOLOv11 TXT</t>
        </is>
      </c>
      <c r="J11" s="10" t="inlineStr">
        <is>
          <t>Verified Active</t>
        </is>
      </c>
    </row>
    <row r="12" ht="26" customHeight="1">
      <c r="A12" s="11" t="inlineStr">
        <is>
          <t>RF-08</t>
        </is>
      </c>
      <c r="B12" s="11" t="inlineStr">
        <is>
          <t>Mango</t>
        </is>
      </c>
      <c r="C12" s="12" t="inlineStr">
        <is>
          <t>Mango Defect Detection (Villanueva)</t>
        </is>
      </c>
      <c r="D12" s="13" t="inlineStr">
        <is>
          <t>Roboflow Universe</t>
        </is>
      </c>
      <c r="E12" s="14" t="inlineStr">
        <is>
          <t>https://universe.roboflow.com/kaycee-kaye-y-villanueva-mzmks/mango-defect-detection</t>
        </is>
      </c>
      <c r="F12" s="12" t="inlineStr">
        <is>
          <t>Black Spot (rot), Brown Spot (bruising), Mango Scab (scars)</t>
        </is>
      </c>
      <c r="G12" s="15" t="n">
        <v>900</v>
      </c>
      <c r="H12" s="15" t="n">
        <v>900</v>
      </c>
      <c r="I12" s="13" t="inlineStr">
        <is>
          <t>YOLOv8 / YOLOv11 TXT</t>
        </is>
      </c>
      <c r="J12" s="10" t="inlineStr">
        <is>
          <t>Verified Active</t>
        </is>
      </c>
    </row>
    <row r="13" ht="26" customHeight="1">
      <c r="A13" s="5" t="inlineStr">
        <is>
          <t>RF-09</t>
        </is>
      </c>
      <c r="B13" s="5" t="inlineStr">
        <is>
          <t>Mango</t>
        </is>
      </c>
      <c r="C13" s="6" t="inlineStr">
        <is>
          <t>MangoGrading (MangoClass)</t>
        </is>
      </c>
      <c r="D13" s="7" t="inlineStr">
        <is>
          <t>Roboflow Universe</t>
        </is>
      </c>
      <c r="E13" s="8" t="inlineStr">
        <is>
          <t>https://universe.roboflow.com/mangoclass/mangograding</t>
        </is>
      </c>
      <c r="F13" s="6" t="inlineStr">
        <is>
          <t>Grade A (clean), Grade B (scars), Grade C (rot/deformed)</t>
        </is>
      </c>
      <c r="G13" s="9" t="n">
        <v>56</v>
      </c>
      <c r="H13" s="9" t="n">
        <v>56</v>
      </c>
      <c r="I13" s="7" t="inlineStr">
        <is>
          <t>YOLOv8 / YOLOv11 TXT</t>
        </is>
      </c>
      <c r="J13" s="10" t="inlineStr">
        <is>
          <t>Verified Active</t>
        </is>
      </c>
    </row>
    <row r="14" ht="26" customHeight="1">
      <c r="A14" s="11" t="inlineStr">
        <is>
          <t>RF-10</t>
        </is>
      </c>
      <c r="B14" s="11" t="inlineStr">
        <is>
          <t>Orange</t>
        </is>
      </c>
      <c r="C14" s="12" t="inlineStr">
        <is>
          <t>Orange Disease Detection (CAPSTONE)</t>
        </is>
      </c>
      <c r="D14" s="13" t="inlineStr">
        <is>
          <t>Roboflow Universe</t>
        </is>
      </c>
      <c r="E14" s="14" t="inlineStr">
        <is>
          <t>https://universe.roboflow.com/capstone-2az9h/orange-disease-detection-qunki</t>
        </is>
      </c>
      <c r="F14" s="12" t="inlineStr">
        <is>
          <t>Fresh, Blackspot (fungal rot), Canker (corky peel scars)</t>
        </is>
      </c>
      <c r="G14" s="15" t="n">
        <v>420</v>
      </c>
      <c r="H14" s="15" t="n">
        <v>420</v>
      </c>
      <c r="I14" s="13" t="inlineStr">
        <is>
          <t>YOLOv8 / YOLOv11 TXT</t>
        </is>
      </c>
      <c r="J14" s="10" t="inlineStr">
        <is>
          <t>Verified Active</t>
        </is>
      </c>
    </row>
    <row r="15" ht="26" customHeight="1">
      <c r="A15" s="5" t="inlineStr">
        <is>
          <t>RF-11</t>
        </is>
      </c>
      <c r="B15" s="5" t="inlineStr">
        <is>
          <t>Orange</t>
        </is>
      </c>
      <c r="C15" s="6" t="inlineStr">
        <is>
          <t>Orange Defect Dataset (Mydetect)</t>
        </is>
      </c>
      <c r="D15" s="7" t="inlineStr">
        <is>
          <t>Roboflow Universe</t>
        </is>
      </c>
      <c r="E15" s="8" t="inlineStr">
        <is>
          <t>https://universe.roboflow.com/mydetect-o2wvw/orange-defect</t>
        </is>
      </c>
      <c r="F15" s="6" t="inlineStr">
        <is>
          <t>Fresh Oranges, Rotten Oranges</t>
        </is>
      </c>
      <c r="G15" s="9" t="n">
        <v>350</v>
      </c>
      <c r="H15" s="9" t="n">
        <v>350</v>
      </c>
      <c r="I15" s="7" t="inlineStr">
        <is>
          <t>YOLOv8 / YOLOv11 TXT</t>
        </is>
      </c>
      <c r="J15" s="10" t="inlineStr">
        <is>
          <t>Verified Active</t>
        </is>
      </c>
    </row>
    <row r="16" ht="26" customHeight="1">
      <c r="A16" s="11" t="inlineStr">
        <is>
          <t>RF-12</t>
        </is>
      </c>
      <c r="B16" s="11" t="inlineStr">
        <is>
          <t>Pomegranate</t>
        </is>
      </c>
      <c r="C16" s="12" t="inlineStr">
        <is>
          <t>Pomegranate Disease Detection (Fizza)</t>
        </is>
      </c>
      <c r="D16" s="13" t="inlineStr">
        <is>
          <t>Roboflow Universe</t>
        </is>
      </c>
      <c r="E16" s="14" t="inlineStr">
        <is>
          <t>https://universe.roboflow.com/fizza/pomegranate-disease-detection-t7rg0</t>
        </is>
      </c>
      <c r="F16" s="12" t="inlineStr">
        <is>
          <t>Anthracnose (black rot), Bacterial_Blight (cracks/lesions), Cercospora (spots)</t>
        </is>
      </c>
      <c r="G16" s="15" t="n">
        <v>1200</v>
      </c>
      <c r="H16" s="15" t="n">
        <v>1200</v>
      </c>
      <c r="I16" s="13" t="inlineStr">
        <is>
          <t>YOLOv8 / YOLOv11 TXT</t>
        </is>
      </c>
      <c r="J16" s="10" t="inlineStr">
        <is>
          <t>Verified Active</t>
        </is>
      </c>
    </row>
    <row r="17" ht="26" customHeight="1">
      <c r="A17" s="5" t="inlineStr">
        <is>
          <t>RF-13</t>
        </is>
      </c>
      <c r="B17" s="5" t="inlineStr">
        <is>
          <t>Pomegranate</t>
        </is>
      </c>
      <c r="C17" s="6" t="inlineStr">
        <is>
          <t>Pomegranate Disease Detection (IM)</t>
        </is>
      </c>
      <c r="D17" s="7" t="inlineStr">
        <is>
          <t>Roboflow Universe</t>
        </is>
      </c>
      <c r="E17" s="8" t="inlineStr">
        <is>
          <t>https://universe.roboflow.com/im-ririo/pomegranate-disease-detection-29ocz-yz4hn/dataset/2</t>
        </is>
      </c>
      <c r="F17" s="6" t="inlineStr">
        <is>
          <t>bacterial_blight &amp; surface lesions</t>
        </is>
      </c>
      <c r="G17" s="9" t="n">
        <v>147</v>
      </c>
      <c r="H17" s="9" t="n">
        <v>147</v>
      </c>
      <c r="I17" s="7" t="inlineStr">
        <is>
          <t>YOLOv8 / YOLOv11 TXT</t>
        </is>
      </c>
      <c r="J17" s="10" t="inlineStr">
        <is>
          <t>Verified Active</t>
        </is>
      </c>
    </row>
    <row r="18" ht="26" customHeight="1">
      <c r="A18" s="11" t="inlineStr">
        <is>
          <t>RF-14</t>
        </is>
      </c>
      <c r="B18" s="11" t="inlineStr">
        <is>
          <t>Pomegranate</t>
        </is>
      </c>
      <c r="C18" s="12" t="inlineStr">
        <is>
          <t>Pomegranate Fresh vs. Rotten (Bin)</t>
        </is>
      </c>
      <c r="D18" s="13" t="inlineStr">
        <is>
          <t>Roboflow Universe</t>
        </is>
      </c>
      <c r="E18" s="14" t="inlineStr">
        <is>
          <t>https://universe.roboflow.com/bin-wnwyu/pomegranate-hhj6l</t>
        </is>
      </c>
      <c r="F18" s="12" t="inlineStr">
        <is>
          <t>Freshpomegranate, Rottenpomegranate</t>
        </is>
      </c>
      <c r="G18" s="15" t="n">
        <v>310</v>
      </c>
      <c r="H18" s="15" t="n">
        <v>310</v>
      </c>
      <c r="I18" s="13" t="inlineStr">
        <is>
          <t>YOLOv8 / YOLOv11 TXT</t>
        </is>
      </c>
      <c r="J18" s="10" t="inlineStr">
        <is>
          <t>Verified Active</t>
        </is>
      </c>
    </row>
    <row r="19" ht="24" customHeight="1">
      <c r="A19" s="16" t="inlineStr">
        <is>
          <t>Total Pre-Marked Roboflow YOLO Volume</t>
        </is>
      </c>
      <c r="B19" s="17" t="n"/>
      <c r="C19" s="17" t="n"/>
      <c r="D19" s="17" t="n"/>
      <c r="E19" s="17" t="n"/>
      <c r="F19" s="17" t="n"/>
      <c r="G19" s="18">
        <f>SUM(G5:G18)</f>
        <v/>
      </c>
      <c r="H19" s="18">
        <f>SUM(H5:H18)</f>
        <v/>
      </c>
      <c r="I19" s="19">
        <f>COUNTA(A5:A18)&amp;" Datasets"</f>
        <v/>
      </c>
      <c r="J19" s="17" t="n"/>
    </row>
  </sheetData>
  <autoFilter ref="A4:J18"/>
  <mergeCells count="3">
    <mergeCell ref="A1:I1"/>
    <mergeCell ref="A19:F19"/>
    <mergeCell ref="A2:I2"/>
  </mergeCells>
  <dataValidations count="1">
    <dataValidation sqref="J5:J18" showDropDown="0" showInputMessage="0" showErrorMessage="0" allowBlank="0" type="list">
      <formula1>"Verified Active,Needs Re-check,Downloaded,Integrated"</formula1>
    </dataValidation>
  </dataValidation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7" r:id="rId3"/>
    <hyperlink xmlns:r="http://schemas.openxmlformats.org/officeDocument/2006/relationships" ref="E8" r:id="rId4"/>
    <hyperlink xmlns:r="http://schemas.openxmlformats.org/officeDocument/2006/relationships" ref="E9" r:id="rId5"/>
    <hyperlink xmlns:r="http://schemas.openxmlformats.org/officeDocument/2006/relationships" ref="E10" r:id="rId6"/>
    <hyperlink xmlns:r="http://schemas.openxmlformats.org/officeDocument/2006/relationships" ref="E11" r:id="rId7"/>
    <hyperlink xmlns:r="http://schemas.openxmlformats.org/officeDocument/2006/relationships" ref="E12" r:id="rId8"/>
    <hyperlink xmlns:r="http://schemas.openxmlformats.org/officeDocument/2006/relationships" ref="E13" r:id="rId9"/>
    <hyperlink xmlns:r="http://schemas.openxmlformats.org/officeDocument/2006/relationships" ref="E14" r:id="rId10"/>
    <hyperlink xmlns:r="http://schemas.openxmlformats.org/officeDocument/2006/relationships" ref="E15" r:id="rId11"/>
    <hyperlink xmlns:r="http://schemas.openxmlformats.org/officeDocument/2006/relationships" ref="E16" r:id="rId12"/>
    <hyperlink xmlns:r="http://schemas.openxmlformats.org/officeDocument/2006/relationships" ref="E17" r:id="rId13"/>
    <hyperlink xmlns:r="http://schemas.openxmlformats.org/officeDocument/2006/relationships" ref="E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30" customWidth="1" min="4" max="4"/>
    <col width="30" customWidth="1" min="5" max="5"/>
    <col width="28" customWidth="1" min="6" max="6"/>
    <col width="36" customWidth="1" min="7" max="7"/>
  </cols>
  <sheetData>
    <row r="1" ht="26" customHeight="1">
      <c r="A1" s="20" t="inlineStr">
        <is>
          <t>Unified Supervised YOLO Class Mapping &amp; Fruit Volume Summary</t>
        </is>
      </c>
    </row>
    <row r="2" ht="18" customHeight="1">
      <c r="A2" s="21" t="inlineStr">
        <is>
          <t>Standardized 4-class hierarchy for merging multi-fruit Roboflow datasets into a single data.yaml configuration</t>
        </is>
      </c>
    </row>
    <row r="4" ht="25" customHeight="1">
      <c r="A4" s="3" t="inlineStr">
        <is>
          <t>Fruit Category</t>
        </is>
      </c>
      <c r="B4" s="3" t="inlineStr">
        <is>
          <t>Dataset Count</t>
        </is>
      </c>
      <c r="C4" s="3" t="inlineStr">
        <is>
          <t>Base Images</t>
        </is>
      </c>
      <c r="D4" s="3" t="inlineStr">
        <is>
          <t>Augmented / Max Images</t>
        </is>
      </c>
    </row>
    <row r="5" ht="22" customHeight="1">
      <c r="A5" s="5" t="inlineStr">
        <is>
          <t>Apple</t>
        </is>
      </c>
      <c r="B5" s="7">
        <f>COUNTIF('YOLO Datasets'!B$5:B$18, "Apple")</f>
        <v/>
      </c>
      <c r="C5" s="9">
        <f>SUMIF('YOLO Datasets'!B$5:B$18, "Apple", 'YOLO Datasets'!G$5:G$18)</f>
        <v/>
      </c>
      <c r="D5" s="9">
        <f>SUMIF('YOLO Datasets'!B$5:B$18, "Apple", 'YOLO Datasets'!H$5:H$18)</f>
        <v/>
      </c>
    </row>
    <row r="6" ht="22" customHeight="1">
      <c r="A6" s="11" t="inlineStr">
        <is>
          <t>Guava</t>
        </is>
      </c>
      <c r="B6" s="13">
        <f>COUNTIF('YOLO Datasets'!B$5:B$18, "Guava")</f>
        <v/>
      </c>
      <c r="C6" s="15">
        <f>SUMIF('YOLO Datasets'!B$5:B$18, "Guava", 'YOLO Datasets'!G$5:G$18)</f>
        <v/>
      </c>
      <c r="D6" s="15">
        <f>SUMIF('YOLO Datasets'!B$5:B$18, "Guava", 'YOLO Datasets'!H$5:H$18)</f>
        <v/>
      </c>
    </row>
    <row r="7" ht="22" customHeight="1">
      <c r="A7" s="5" t="inlineStr">
        <is>
          <t>Mango</t>
        </is>
      </c>
      <c r="B7" s="7">
        <f>COUNTIF('YOLO Datasets'!B$5:B$18, "Mango")</f>
        <v/>
      </c>
      <c r="C7" s="9">
        <f>SUMIF('YOLO Datasets'!B$5:B$18, "Mango", 'YOLO Datasets'!G$5:G$18)</f>
        <v/>
      </c>
      <c r="D7" s="9">
        <f>SUMIF('YOLO Datasets'!B$5:B$18, "Mango", 'YOLO Datasets'!H$5:H$18)</f>
        <v/>
      </c>
    </row>
    <row r="8" ht="22" customHeight="1">
      <c r="A8" s="11" t="inlineStr">
        <is>
          <t>Orange</t>
        </is>
      </c>
      <c r="B8" s="13">
        <f>COUNTIF('YOLO Datasets'!B$5:B$18, "Orange")</f>
        <v/>
      </c>
      <c r="C8" s="15">
        <f>SUMIF('YOLO Datasets'!B$5:B$18, "Orange", 'YOLO Datasets'!G$5:G$18)</f>
        <v/>
      </c>
      <c r="D8" s="15">
        <f>SUMIF('YOLO Datasets'!B$5:B$18, "Orange", 'YOLO Datasets'!H$5:H$18)</f>
        <v/>
      </c>
    </row>
    <row r="9" ht="22" customHeight="1">
      <c r="A9" s="5" t="inlineStr">
        <is>
          <t>Pomegranate</t>
        </is>
      </c>
      <c r="B9" s="7">
        <f>COUNTIF('YOLO Datasets'!B$5:B$18, "Pomegranate")</f>
        <v/>
      </c>
      <c r="C9" s="9">
        <f>SUMIF('YOLO Datasets'!B$5:B$18, "Pomegranate", 'YOLO Datasets'!G$5:G$18)</f>
        <v/>
      </c>
      <c r="D9" s="9">
        <f>SUMIF('YOLO Datasets'!B$5:B$18, "Pomegranate", 'YOLO Datasets'!H$5:H$18)</f>
        <v/>
      </c>
    </row>
    <row r="10" ht="24" customHeight="1">
      <c r="A10" s="19" t="inlineStr">
        <is>
          <t>Total</t>
        </is>
      </c>
      <c r="B10" s="19">
        <f>SUM(B5:B9)</f>
        <v/>
      </c>
      <c r="C10" s="18">
        <f>SUM(C5:C9)</f>
        <v/>
      </c>
      <c r="D10" s="18">
        <f>SUM(D5:D9)</f>
        <v/>
      </c>
    </row>
    <row r="12" ht="22" customHeight="1">
      <c r="A12" s="22" t="inlineStr">
        <is>
          <t>Unified YOLO Class ID Mapping Matrix (data.yaml)</t>
        </is>
      </c>
    </row>
    <row r="13" ht="26" customHeight="1">
      <c r="A13" s="23" t="inlineStr">
        <is>
          <t>Unified Class ID</t>
        </is>
      </c>
      <c r="B13" s="23" t="inlineStr">
        <is>
          <t>Unified Class Name</t>
        </is>
      </c>
      <c r="C13" s="24" t="inlineStr">
        <is>
          <t>Apple Source Labels</t>
        </is>
      </c>
      <c r="D13" s="24" t="inlineStr">
        <is>
          <t>Guava Source Labels</t>
        </is>
      </c>
      <c r="E13" s="24" t="inlineStr">
        <is>
          <t>Mango Source Labels</t>
        </is>
      </c>
      <c r="F13" s="24" t="inlineStr">
        <is>
          <t>Orange Source Labels</t>
        </is>
      </c>
      <c r="G13" s="24" t="inlineStr">
        <is>
          <t>Pomegranate Source Labels</t>
        </is>
      </c>
    </row>
    <row r="14" ht="28" customHeight="1">
      <c r="A14" s="25" t="n">
        <v>0</v>
      </c>
      <c r="B14" s="25" t="inlineStr">
        <is>
          <t>Healthy</t>
        </is>
      </c>
      <c r="C14" s="6" t="inlineStr">
        <is>
          <t>HEALTHY</t>
        </is>
      </c>
      <c r="D14" s="6" t="inlineStr">
        <is>
          <t>Guava_healthy</t>
        </is>
      </c>
      <c r="E14" s="6" t="inlineStr">
        <is>
          <t>Grade A, green, ripe</t>
        </is>
      </c>
      <c r="F14" s="6" t="inlineStr">
        <is>
          <t>Fresh, Fresh Oranges</t>
        </is>
      </c>
      <c r="G14" s="6" t="inlineStr">
        <is>
          <t>Freshpomegranate</t>
        </is>
      </c>
    </row>
    <row r="15" ht="28" customHeight="1">
      <c r="A15" s="26" t="n">
        <v>1</v>
      </c>
      <c r="B15" s="26" t="inlineStr">
        <is>
          <t>Bruise_or_Scratch</t>
        </is>
      </c>
      <c r="C15" s="12" t="inlineStr">
        <is>
          <t>bruising, crack, insect_bite</t>
        </is>
      </c>
      <c r="D15" s="12" t="inlineStr">
        <is>
          <t>Surface abrasion</t>
        </is>
      </c>
      <c r="E15" s="12" t="inlineStr">
        <is>
          <t>Brown Spot, skin damage, Grade B</t>
        </is>
      </c>
      <c r="F15" s="12" t="inlineStr">
        <is>
          <t>Minor peel rub</t>
        </is>
      </c>
      <c r="G15" s="12" t="inlineStr">
        <is>
          <t>Surface crack</t>
        </is>
      </c>
    </row>
    <row r="16" ht="28" customHeight="1">
      <c r="A16" s="25" t="n">
        <v>2</v>
      </c>
      <c r="B16" s="25" t="inlineStr">
        <is>
          <t>Scab_or_Canker</t>
        </is>
      </c>
      <c r="C16" s="6" t="inlineStr">
        <is>
          <t>SCAB, BLOTCH, rusetting</t>
        </is>
      </c>
      <c r="D16" s="6" t="inlineStr">
        <is>
          <t>Scab</t>
        </is>
      </c>
      <c r="E16" s="6" t="inlineStr">
        <is>
          <t>Mango Scab</t>
        </is>
      </c>
      <c r="F16" s="6" t="inlineStr">
        <is>
          <t>Canker</t>
        </is>
      </c>
      <c r="G16" s="6" t="inlineStr">
        <is>
          <t>Cercospora</t>
        </is>
      </c>
    </row>
    <row r="17" ht="28" customHeight="1">
      <c r="A17" s="26" t="n">
        <v>3</v>
      </c>
      <c r="B17" s="26" t="inlineStr">
        <is>
          <t>Rot_or_Blight</t>
        </is>
      </c>
      <c r="C17" s="12" t="inlineStr">
        <is>
          <t>rotten, ROT</t>
        </is>
      </c>
      <c r="D17" s="12" t="inlineStr">
        <is>
          <t>Phytopthora, Styler and Root, Guava_Fruit_fly</t>
        </is>
      </c>
      <c r="E17" s="12" t="inlineStr">
        <is>
          <t>Black Spot, rotten, deformed, Grade C</t>
        </is>
      </c>
      <c r="F17" s="12" t="inlineStr">
        <is>
          <t>Blackspot, Rotten Oranges</t>
        </is>
      </c>
      <c r="G17" s="12" t="inlineStr">
        <is>
          <t>Anthracnose, Bacterial_Blight, Rottenpomegranate</t>
        </is>
      </c>
    </row>
  </sheetData>
  <mergeCells count="3">
    <mergeCell ref="A2:G2"/>
    <mergeCell ref="A1:G1"/>
    <mergeCell ref="A12:G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  <col width="68" customWidth="1" min="4" max="4"/>
    <col width="55" customWidth="1" min="5" max="5"/>
    <col width="18" customWidth="1" min="6" max="6"/>
  </cols>
  <sheetData>
    <row r="1" ht="26" customHeight="1">
      <c r="A1" s="20" t="inlineStr">
        <is>
          <t>Verified Kaggle Fruit Quality &amp; Pathology Datasets (Classification &amp; Conveyor Ground Truth)</t>
        </is>
      </c>
    </row>
    <row r="3" ht="26" customHeight="1">
      <c r="A3" s="27" t="inlineStr">
        <is>
          <t>ID</t>
        </is>
      </c>
      <c r="B3" s="27" t="inlineStr">
        <is>
          <t>Target Fruits</t>
        </is>
      </c>
      <c r="C3" s="28" t="inlineStr">
        <is>
          <t>Dataset Name</t>
        </is>
      </c>
      <c r="D3" s="28" t="inlineStr">
        <is>
          <t>Verified Kaggle URL</t>
        </is>
      </c>
      <c r="E3" s="28" t="inlineStr">
        <is>
          <t>Annotated Classes / Scope</t>
        </is>
      </c>
      <c r="F3" s="27" t="inlineStr">
        <is>
          <t>Status</t>
        </is>
      </c>
    </row>
    <row r="4" ht="24" customHeight="1">
      <c r="A4" s="5" t="inlineStr">
        <is>
          <t>KG-01</t>
        </is>
      </c>
      <c r="B4" s="6" t="inlineStr">
        <is>
          <t>Apple, Guava, Mango, Pomegranate</t>
        </is>
      </c>
      <c r="C4" s="6" t="inlineStr">
        <is>
          <t>Fruits Dataset for Fruit Disease Classification</t>
        </is>
      </c>
      <c r="D4" s="8" t="inlineStr">
        <is>
          <t>https://www.kaggle.com/datasets/ateebnoone/fruits-dataset-for-fruit-disease-classification</t>
        </is>
      </c>
      <c r="E4" s="6" t="inlineStr">
        <is>
          <t>Apple rot/scab, Guava anthracnose/fruit fly, Mango anthracnose/rot, Pomegranate blight</t>
        </is>
      </c>
      <c r="F4" s="10" t="inlineStr">
        <is>
          <t>Verified Active</t>
        </is>
      </c>
    </row>
    <row r="5" ht="24" customHeight="1">
      <c r="A5" s="11" t="inlineStr">
        <is>
          <t>KG-02</t>
        </is>
      </c>
      <c r="B5" s="12" t="inlineStr">
        <is>
          <t>Apple, Guava, Mango, Pomegranate</t>
        </is>
      </c>
      <c r="C5" s="12" t="inlineStr">
        <is>
          <t>Fruits Diseases Classification Dataset</t>
        </is>
      </c>
      <c r="D5" s="14" t="inlineStr">
        <is>
          <t>https://www.kaggle.com/datasets/amdatas/fruits-diseases-classification-dataset</t>
        </is>
      </c>
      <c r="E5" s="12" t="inlineStr">
        <is>
          <t>17 pathology classes across Guava, Apple, Mango, and Pomegranate</t>
        </is>
      </c>
      <c r="F5" s="10" t="inlineStr">
        <is>
          <t>Verified Active</t>
        </is>
      </c>
    </row>
    <row r="6" ht="24" customHeight="1">
      <c r="A6" s="5" t="inlineStr">
        <is>
          <t>KG-03</t>
        </is>
      </c>
      <c r="B6" s="6" t="inlineStr">
        <is>
          <t>Apple, Banana, Orange</t>
        </is>
      </c>
      <c r="C6" s="6" t="inlineStr">
        <is>
          <t>Fruits Fresh and Rotten for Classification</t>
        </is>
      </c>
      <c r="D6" s="8" t="inlineStr">
        <is>
          <t>https://www.kaggle.com/datasets/sriramr/fruits-fresh-and-rotten-for-classification</t>
        </is>
      </c>
      <c r="E6" s="6" t="inlineStr">
        <is>
          <t>Fresh vs. Rotten benchmark for Apple, Banana, Orange</t>
        </is>
      </c>
      <c r="F6" s="10" t="inlineStr">
        <is>
          <t>Verified Active</t>
        </is>
      </c>
    </row>
    <row r="7" ht="24" customHeight="1">
      <c r="A7" s="11" t="inlineStr">
        <is>
          <t>KG-04</t>
        </is>
      </c>
      <c r="B7" s="12" t="inlineStr">
        <is>
          <t>Multi-Fruit (6 Classes)</t>
        </is>
      </c>
      <c r="C7" s="12" t="inlineStr">
        <is>
          <t>Fresh and Stale Images of Fruits and Vegetables</t>
        </is>
      </c>
      <c r="D7" s="14" t="inlineStr">
        <is>
          <t>https://www.kaggle.com/datasets/raghavrpotdar/fresh-and-stale-images-of-fruits-and-vegetables</t>
        </is>
      </c>
      <c r="E7" s="12" t="inlineStr">
        <is>
          <t>Fresh vs. Stale images including Apple, Banana, Orange</t>
        </is>
      </c>
      <c r="F7" s="10" t="inlineStr">
        <is>
          <t>Verified Active</t>
        </is>
      </c>
    </row>
    <row r="8" ht="24" customHeight="1">
      <c r="A8" s="5" t="inlineStr">
        <is>
          <t>KG-05</t>
        </is>
      </c>
      <c r="B8" s="6" t="inlineStr">
        <is>
          <t>Pomegranate</t>
        </is>
      </c>
      <c r="C8" s="6" t="inlineStr">
        <is>
          <t>Pomegranate Fruit Diseases Dataset</t>
        </is>
      </c>
      <c r="D8" s="8" t="inlineStr">
        <is>
          <t>https://www.kaggle.com/datasets/sujaykapadnis/pomegranate-fruit-diseases-dataset</t>
        </is>
      </c>
      <c r="E8" s="6" t="inlineStr">
        <is>
          <t>Surface lesions, bacterial blight, and fruit rot</t>
        </is>
      </c>
      <c r="F8" s="10" t="inlineStr">
        <is>
          <t>Verified Active</t>
        </is>
      </c>
    </row>
    <row r="9" ht="24" customHeight="1">
      <c r="A9" s="11" t="inlineStr">
        <is>
          <t>KG-06</t>
        </is>
      </c>
      <c r="B9" s="12" t="inlineStr">
        <is>
          <t>Guava</t>
        </is>
      </c>
      <c r="C9" s="12" t="inlineStr">
        <is>
          <t>Guava Dataset (Pathologies)</t>
        </is>
      </c>
      <c r="D9" s="14" t="inlineStr">
        <is>
          <t>https://www.kaggle.com/datasets/noamaanabdulazeem/guava-dataset</t>
        </is>
      </c>
      <c r="E9" s="12" t="inlineStr">
        <is>
          <t>Red rust, scab, and styler rot</t>
        </is>
      </c>
      <c r="F9" s="10" t="inlineStr">
        <is>
          <t>Verified Active</t>
        </is>
      </c>
    </row>
    <row r="10" ht="24" customHeight="1">
      <c r="A10" s="5" t="inlineStr">
        <is>
          <t>KG-07</t>
        </is>
      </c>
      <c r="B10" s="6" t="inlineStr">
        <is>
          <t>Orange</t>
        </is>
      </c>
      <c r="C10" s="6" t="inlineStr">
        <is>
          <t>Orange Fruit Dataset</t>
        </is>
      </c>
      <c r="D10" s="8" t="inlineStr">
        <is>
          <t>https://www.kaggle.com/datasets/sgandhi2003/orange-fruit-dataset</t>
        </is>
      </c>
      <c r="E10" s="6" t="inlineStr">
        <is>
          <t>Healthy vs. defective citrus sorting</t>
        </is>
      </c>
      <c r="F10" s="10" t="inlineStr">
        <is>
          <t>Verified Active</t>
        </is>
      </c>
    </row>
    <row r="11" ht="24" customHeight="1">
      <c r="A11" s="11" t="inlineStr">
        <is>
          <t>KG-08</t>
        </is>
      </c>
      <c r="B11" s="12" t="inlineStr">
        <is>
          <t>All 5 Fruits (Conveyor)</t>
        </is>
      </c>
      <c r="C11" s="12" t="inlineStr">
        <is>
          <t>Fruits 360 Benchmark Dataset</t>
        </is>
      </c>
      <c r="D11" s="14" t="inlineStr">
        <is>
          <t>https://www.kaggle.com/datasets/moltean/fruits</t>
        </is>
      </c>
      <c r="E11" s="12" t="inlineStr">
        <is>
          <t>Conveyor turntable images across Apple, Guava, Mango, Orange, Pomegranate</t>
        </is>
      </c>
      <c r="F11" s="10" t="inlineStr">
        <is>
          <t>Verified Active</t>
        </is>
      </c>
    </row>
  </sheetData>
  <mergeCells count="1">
    <mergeCell ref="A1:F1"/>
  </mergeCells>
  <hyperlinks>
    <hyperlink xmlns:r="http://schemas.openxmlformats.org/officeDocument/2006/relationships" ref="D4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2026-10-23T08:00:25Z</dcterms:created>
  <dcterms:modified xmlns:dcterms="http://purl.org/dc/terms/" xmlns:xsi="http://www.w3.org/2001/XMLSchema-instance" xsi:type="dcterms:W3CDTF">2026-10-23T08:00:25Z</dcterms:modified>
</cp:coreProperties>
</file>